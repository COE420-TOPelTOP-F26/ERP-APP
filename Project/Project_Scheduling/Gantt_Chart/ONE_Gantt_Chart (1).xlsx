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nadinebahy/Downloads/"/>
    </mc:Choice>
  </mc:AlternateContent>
  <xr:revisionPtr revIDLastSave="0" documentId="13_ncr:1_{02741E9C-33A0-CB49-8091-A4F48A7E9C5F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Gantt Chart" sheetId="1" r:id="rId1"/>
    <sheet name="Schedule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J6" i="2" s="1"/>
  <c r="F6" i="2" l="1"/>
  <c r="E8" i="2" l="1"/>
  <c r="E7" i="2"/>
  <c r="J7" i="2" l="1"/>
  <c r="F7" i="2"/>
  <c r="F8" i="2"/>
  <c r="J8" i="2"/>
  <c r="E10" i="2" l="1"/>
  <c r="E9" i="2"/>
  <c r="F9" i="2" l="1"/>
  <c r="J9" i="2"/>
  <c r="J10" i="2"/>
  <c r="F10" i="2"/>
  <c r="E15" i="2" l="1"/>
  <c r="E11" i="2"/>
  <c r="J11" i="2" l="1"/>
  <c r="F11" i="2"/>
  <c r="J15" i="2"/>
  <c r="F15" i="2"/>
  <c r="E12" i="2" l="1"/>
  <c r="F12" i="2" l="1"/>
  <c r="J12" i="2"/>
  <c r="E13" i="2" l="1"/>
  <c r="E14" i="2"/>
  <c r="J14" i="2" l="1"/>
  <c r="F14" i="2"/>
  <c r="F13" i="2"/>
  <c r="E16" i="2" s="1"/>
  <c r="J13" i="2"/>
  <c r="F16" i="2" l="1"/>
  <c r="E17" i="2" s="1"/>
  <c r="J16" i="2"/>
  <c r="J17" i="2" l="1"/>
  <c r="F17" i="2"/>
  <c r="E18" i="2" s="1"/>
  <c r="J18" i="2" l="1"/>
  <c r="F18" i="2"/>
  <c r="F3" i="2" s="1"/>
  <c r="H18" i="2" s="1"/>
  <c r="G18" i="2" s="1"/>
  <c r="H17" i="2" l="1"/>
  <c r="G17" i="2" s="1"/>
  <c r="I18" i="2"/>
  <c r="L18" i="2" l="1"/>
  <c r="K18" i="2"/>
  <c r="H16" i="2"/>
  <c r="G16" i="2" s="1"/>
  <c r="I17" i="2"/>
  <c r="L17" i="2" l="1"/>
  <c r="K17" i="2"/>
  <c r="H13" i="2"/>
  <c r="G13" i="2" s="1"/>
  <c r="H14" i="2"/>
  <c r="G14" i="2" s="1"/>
  <c r="I14" i="2" s="1"/>
  <c r="H15" i="2"/>
  <c r="G15" i="2" s="1"/>
  <c r="I15" i="2" s="1"/>
  <c r="I16" i="2"/>
  <c r="L16" i="2" l="1"/>
  <c r="K16" i="2"/>
  <c r="L15" i="2"/>
  <c r="K15" i="2"/>
  <c r="K14" i="2"/>
  <c r="L14" i="2"/>
  <c r="I13" i="2"/>
  <c r="H12" i="2"/>
  <c r="G12" i="2" s="1"/>
  <c r="I12" i="2" l="1"/>
  <c r="H11" i="2"/>
  <c r="G11" i="2" s="1"/>
  <c r="L13" i="2"/>
  <c r="K13" i="2"/>
  <c r="H9" i="2" l="1"/>
  <c r="G9" i="2" s="1"/>
  <c r="H10" i="2"/>
  <c r="G10" i="2" s="1"/>
  <c r="I10" i="2" s="1"/>
  <c r="I11" i="2"/>
  <c r="L12" i="2"/>
  <c r="K12" i="2"/>
  <c r="L11" i="2" l="1"/>
  <c r="K11" i="2"/>
  <c r="K10" i="2"/>
  <c r="L10" i="2"/>
  <c r="H7" i="2"/>
  <c r="G7" i="2" s="1"/>
  <c r="I9" i="2"/>
  <c r="H8" i="2"/>
  <c r="G8" i="2" s="1"/>
  <c r="I8" i="2" s="1"/>
  <c r="L8" i="2" l="1"/>
  <c r="K8" i="2"/>
  <c r="K9" i="2"/>
  <c r="L9" i="2"/>
  <c r="I7" i="2"/>
  <c r="H6" i="2"/>
  <c r="G6" i="2" s="1"/>
  <c r="I6" i="2" s="1"/>
  <c r="L6" i="2" l="1"/>
  <c r="K6" i="2"/>
  <c r="L7" i="2"/>
  <c r="K7" i="2"/>
</calcChain>
</file>

<file path=xl/sharedStrings.xml><?xml version="1.0" encoding="utf-8"?>
<sst xmlns="http://schemas.openxmlformats.org/spreadsheetml/2006/main" count="56" uniqueCount="47">
  <si>
    <t>ONE Development Gantt Chart</t>
  </si>
  <si>
    <t>Red bars: critical tasks. Gray bars: noncritical tasks. Duration: 35 working days.</t>
  </si>
  <si>
    <t>Day 1 starts at boundary 0. Bars cover every scheduled working day through the finish day.</t>
  </si>
  <si>
    <t>ONE Task Schedule</t>
  </si>
  <si>
    <t>Duration in working days</t>
  </si>
  <si>
    <t>ID</t>
  </si>
  <si>
    <t>Task</t>
  </si>
  <si>
    <t>Predecessors</t>
  </si>
  <si>
    <t>Days</t>
  </si>
  <si>
    <t>ES</t>
  </si>
  <si>
    <t>EF</t>
  </si>
  <si>
    <t>LS</t>
  </si>
  <si>
    <t>LF</t>
  </si>
  <si>
    <t>Slack</t>
  </si>
  <si>
    <t>Start offset</t>
  </si>
  <si>
    <t>Critical</t>
  </si>
  <si>
    <t>Noncritical</t>
  </si>
  <si>
    <t>T1</t>
  </si>
  <si>
    <t>T1 Confirm ONE requirements and interfaces</t>
  </si>
  <si>
    <t>None</t>
  </si>
  <si>
    <t>T2</t>
  </si>
  <si>
    <t>T2 Design database and audit records</t>
  </si>
  <si>
    <t>T3</t>
  </si>
  <si>
    <t>T3 Design employee and approval interfaces</t>
  </si>
  <si>
    <t>T4</t>
  </si>
  <si>
    <t>T4 Build login profile directory and dashboard shell</t>
  </si>
  <si>
    <t>T2, T3</t>
  </si>
  <si>
    <t>T5</t>
  </si>
  <si>
    <t>T5 Build internal attendance and payslip adapter</t>
  </si>
  <si>
    <t>T6</t>
  </si>
  <si>
    <t>T6 Build attendance dashboard and leave workflows</t>
  </si>
  <si>
    <t>T4, T5</t>
  </si>
  <si>
    <t>T7</t>
  </si>
  <si>
    <t>T7 Test increment 2 and shared request handling</t>
  </si>
  <si>
    <t>T8</t>
  </si>
  <si>
    <t>T8 Build expenses and payslip enquiries</t>
  </si>
  <si>
    <t>T9</t>
  </si>
  <si>
    <t>T9 Build IT assets and support</t>
  </si>
  <si>
    <t>T10</t>
  </si>
  <si>
    <t>T10 Prepare approved documents and ONEAI retrieval</t>
  </si>
  <si>
    <t>T11</t>
  </si>
  <si>
    <t>T11 Integrate announcements notifications and ONEAI</t>
  </si>
  <si>
    <t>T8, T9, T10</t>
  </si>
  <si>
    <t>T12</t>
  </si>
  <si>
    <t>T12 Run end to end and quality acceptance tests</t>
  </si>
  <si>
    <t>T13</t>
  </si>
  <si>
    <t>T13 Prepare demonstration deployment and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</si>
</sst>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  <family val="2"/>
    </font>
    <font>
      <b/>
      <sz val="16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6374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ONE Development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offset</c:v>
          </c:tx>
          <c:spPr>
            <a:solidFill>
              <a:srgbClr val="FFFFFF"/>
            </a:solidFill>
          </c:spPr>
          <c:invertIfNegative val="0"/>
          <c:cat>
            <c:strRef>
              <c:f>Schedule!$B$6:$B$18</c:f>
              <c:strCache>
                <c:ptCount val="13"/>
                <c:pt idx="0">
                  <c:v>T1 Confirm ONE requirements and interfaces</c:v>
                </c:pt>
                <c:pt idx="1">
                  <c:v>T2 Design database and audit records</c:v>
                </c:pt>
                <c:pt idx="2">
                  <c:v>T3 Design employee and approval interfaces</c:v>
                </c:pt>
                <c:pt idx="3">
                  <c:v>T4 Build login profile directory and dashboard shell</c:v>
                </c:pt>
                <c:pt idx="4">
                  <c:v>T5 Build internal attendance and payslip adapter</c:v>
                </c:pt>
                <c:pt idx="5">
                  <c:v>T6 Build attendance dashboard and leave workflows</c:v>
                </c:pt>
                <c:pt idx="6">
                  <c:v>T7 Test increment 2 and shared request handling</c:v>
                </c:pt>
                <c:pt idx="7">
                  <c:v>T8 Build expenses and payslip enquiries</c:v>
                </c:pt>
                <c:pt idx="8">
                  <c:v>T9 Build IT assets and support</c:v>
                </c:pt>
                <c:pt idx="9">
                  <c:v>T10 Prepare approved documents and ONEAI retrieval</c:v>
                </c:pt>
                <c:pt idx="10">
                  <c:v>T11 Integrate announcements notifications and ONEAI</c:v>
                </c:pt>
                <c:pt idx="11">
                  <c:v>T12 Run end to end and quality acceptance tests</c:v>
                </c:pt>
                <c:pt idx="12">
                  <c:v>T13 Prepare demonstration deployment and documentation</c:v>
                </c:pt>
              </c:strCache>
            </c:strRef>
          </c:cat>
          <c:val>
            <c:numRef>
              <c:f>Schedule!$J$6:$J$18</c:f>
              <c:numCache>
                <c:formatCode>General</c:formatCode>
                <c:ptCount val="13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12</c:v>
                </c:pt>
                <c:pt idx="6">
                  <c:v>18</c:v>
                </c:pt>
                <c:pt idx="7">
                  <c:v>20</c:v>
                </c:pt>
                <c:pt idx="8">
                  <c:v>20</c:v>
                </c:pt>
                <c:pt idx="9">
                  <c:v>12</c:v>
                </c:pt>
                <c:pt idx="10">
                  <c:v>25</c:v>
                </c:pt>
                <c:pt idx="11">
                  <c:v>29</c:v>
                </c:pt>
                <c:pt idx="1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D-7A41-BD6A-91175C075629}"/>
            </c:ext>
          </c:extLst>
        </c:ser>
        <c:ser>
          <c:idx val="1"/>
          <c:order val="1"/>
          <c:tx>
            <c:v>Critical</c:v>
          </c:tx>
          <c:spPr>
            <a:solidFill>
              <a:srgbClr val="D9534F"/>
            </a:solidFill>
          </c:spPr>
          <c:invertIfNegative val="0"/>
          <c:cat>
            <c:strRef>
              <c:f>Schedule!$B$6:$B$18</c:f>
              <c:strCache>
                <c:ptCount val="13"/>
                <c:pt idx="0">
                  <c:v>T1 Confirm ONE requirements and interfaces</c:v>
                </c:pt>
                <c:pt idx="1">
                  <c:v>T2 Design database and audit records</c:v>
                </c:pt>
                <c:pt idx="2">
                  <c:v>T3 Design employee and approval interfaces</c:v>
                </c:pt>
                <c:pt idx="3">
                  <c:v>T4 Build login profile directory and dashboard shell</c:v>
                </c:pt>
                <c:pt idx="4">
                  <c:v>T5 Build internal attendance and payslip adapter</c:v>
                </c:pt>
                <c:pt idx="5">
                  <c:v>T6 Build attendance dashboard and leave workflows</c:v>
                </c:pt>
                <c:pt idx="6">
                  <c:v>T7 Test increment 2 and shared request handling</c:v>
                </c:pt>
                <c:pt idx="7">
                  <c:v>T8 Build expenses and payslip enquiries</c:v>
                </c:pt>
                <c:pt idx="8">
                  <c:v>T9 Build IT assets and support</c:v>
                </c:pt>
                <c:pt idx="9">
                  <c:v>T10 Prepare approved documents and ONEAI retrieval</c:v>
                </c:pt>
                <c:pt idx="10">
                  <c:v>T11 Integrate announcements notifications and ONEAI</c:v>
                </c:pt>
                <c:pt idx="11">
                  <c:v>T12 Run end to end and quality acceptance tests</c:v>
                </c:pt>
                <c:pt idx="12">
                  <c:v>T13 Prepare demonstration deployment and documentation</c:v>
                </c:pt>
              </c:strCache>
            </c:strRef>
          </c:cat>
          <c:val>
            <c:numRef>
              <c:f>Schedule!$K$6:$K$18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6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D-7A41-BD6A-91175C075629}"/>
            </c:ext>
          </c:extLst>
        </c:ser>
        <c:ser>
          <c:idx val="2"/>
          <c:order val="2"/>
          <c:tx>
            <c:v>Noncritical</c:v>
          </c:tx>
          <c:spPr>
            <a:solidFill>
              <a:srgbClr val="8E9BA7"/>
            </a:solidFill>
          </c:spPr>
          <c:invertIfNegative val="0"/>
          <c:cat>
            <c:strRef>
              <c:f>Schedule!$B$6:$B$18</c:f>
              <c:strCache>
                <c:ptCount val="13"/>
                <c:pt idx="0">
                  <c:v>T1 Confirm ONE requirements and interfaces</c:v>
                </c:pt>
                <c:pt idx="1">
                  <c:v>T2 Design database and audit records</c:v>
                </c:pt>
                <c:pt idx="2">
                  <c:v>T3 Design employee and approval interfaces</c:v>
                </c:pt>
                <c:pt idx="3">
                  <c:v>T4 Build login profile directory and dashboard shell</c:v>
                </c:pt>
                <c:pt idx="4">
                  <c:v>T5 Build internal attendance and payslip adapter</c:v>
                </c:pt>
                <c:pt idx="5">
                  <c:v>T6 Build attendance dashboard and leave workflows</c:v>
                </c:pt>
                <c:pt idx="6">
                  <c:v>T7 Test increment 2 and shared request handling</c:v>
                </c:pt>
                <c:pt idx="7">
                  <c:v>T8 Build expenses and payslip enquiries</c:v>
                </c:pt>
                <c:pt idx="8">
                  <c:v>T9 Build IT assets and support</c:v>
                </c:pt>
                <c:pt idx="9">
                  <c:v>T10 Prepare approved documents and ONEAI retrieval</c:v>
                </c:pt>
                <c:pt idx="10">
                  <c:v>T11 Integrate announcements notifications and ONEAI</c:v>
                </c:pt>
                <c:pt idx="11">
                  <c:v>T12 Run end to end and quality acceptance tests</c:v>
                </c:pt>
                <c:pt idx="12">
                  <c:v>T13 Prepare demonstration deployment and documentation</c:v>
                </c:pt>
              </c:strCache>
            </c:strRef>
          </c:cat>
          <c:val>
            <c:numRef>
              <c:f>Schedule!$L$6:$L$18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4D-7A41-BD6A-91175C075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10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35"/>
          <c:min val="0"/>
        </c:scaling>
        <c:delete val="0"/>
        <c:axPos val="t"/>
        <c:majorGridlines>
          <c:spPr>
            <a:ln w="9525">
              <a:solidFill>
                <a:srgbClr val="E3E6E8"/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Elapsed working days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/>
            </a:pPr>
            <a:endParaRPr lang="en-US"/>
          </a:p>
        </c:txPr>
        <c:crossAx val="48650112"/>
        <c:crosses val="autoZero"/>
        <c:crossBetween val="between"/>
        <c:majorUnit val="5"/>
        <c:minorUnit val="1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showGridLines="0" tabSelected="1" workbookViewId="0">
      <selection activeCell="B39" sqref="B39"/>
    </sheetView>
  </sheetViews>
  <sheetFormatPr baseColWidth="10" defaultColWidth="8.83203125" defaultRowHeight="14"/>
  <cols>
    <col min="1" max="16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showGridLines="0" workbookViewId="0"/>
  </sheetViews>
  <sheetFormatPr baseColWidth="10" defaultColWidth="8.83203125" defaultRowHeight="14"/>
  <cols>
    <col min="2" max="2" width="55" customWidth="1"/>
    <col min="3" max="3" width="17" customWidth="1"/>
    <col min="4" max="12" width="1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">
      <c r="A2" s="2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 t="s">
        <v>4</v>
      </c>
      <c r="C3" s="1"/>
      <c r="D3" s="1"/>
      <c r="E3" s="1"/>
      <c r="F3" s="1">
        <f>MAX(F6:F18)</f>
        <v>35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0" customHeight="1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1"/>
      <c r="N5" s="1"/>
      <c r="O5" s="1"/>
      <c r="P5" s="1"/>
    </row>
    <row r="6" spans="1:16" ht="42" customHeight="1">
      <c r="A6" s="1" t="s">
        <v>17</v>
      </c>
      <c r="B6" s="4" t="s">
        <v>18</v>
      </c>
      <c r="C6" s="1" t="s">
        <v>19</v>
      </c>
      <c r="D6" s="5">
        <v>3</v>
      </c>
      <c r="E6" s="1">
        <f>1</f>
        <v>1</v>
      </c>
      <c r="F6" s="1">
        <f t="shared" ref="F6:F18" si="0">E6+D6-1</f>
        <v>3</v>
      </c>
      <c r="G6" s="1">
        <f t="shared" ref="G6:G18" si="1">H6-D6+1</f>
        <v>1</v>
      </c>
      <c r="H6" s="1">
        <f>MIN(G7,G8)-1</f>
        <v>3</v>
      </c>
      <c r="I6" s="1">
        <f t="shared" ref="I6:I18" si="2">G6-E6</f>
        <v>0</v>
      </c>
      <c r="J6" s="1">
        <f t="shared" ref="J6:J18" si="3">E6-1</f>
        <v>0</v>
      </c>
      <c r="K6" s="1">
        <f t="shared" ref="K6:K18" si="4">IF(I6=0,D6,0)</f>
        <v>3</v>
      </c>
      <c r="L6" s="1">
        <f t="shared" ref="L6:L18" si="5">IF(I6&gt;0,D6,0)</f>
        <v>0</v>
      </c>
      <c r="M6" s="1"/>
      <c r="N6" s="1"/>
      <c r="O6" s="1"/>
      <c r="P6" s="1"/>
    </row>
    <row r="7" spans="1:16" ht="42" customHeight="1">
      <c r="A7" s="1" t="s">
        <v>20</v>
      </c>
      <c r="B7" s="4" t="s">
        <v>21</v>
      </c>
      <c r="C7" s="1" t="s">
        <v>17</v>
      </c>
      <c r="D7" s="5">
        <v>4</v>
      </c>
      <c r="E7" s="1">
        <f>MAX(F6)+1</f>
        <v>4</v>
      </c>
      <c r="F7" s="1">
        <f t="shared" si="0"/>
        <v>7</v>
      </c>
      <c r="G7" s="1">
        <f t="shared" si="1"/>
        <v>4</v>
      </c>
      <c r="H7" s="1">
        <f>MIN(G9,G10)-1</f>
        <v>7</v>
      </c>
      <c r="I7" s="1">
        <f t="shared" si="2"/>
        <v>0</v>
      </c>
      <c r="J7" s="1">
        <f t="shared" si="3"/>
        <v>3</v>
      </c>
      <c r="K7" s="1">
        <f t="shared" si="4"/>
        <v>4</v>
      </c>
      <c r="L7" s="1">
        <f t="shared" si="5"/>
        <v>0</v>
      </c>
      <c r="M7" s="1"/>
      <c r="N7" s="1"/>
      <c r="O7" s="1"/>
      <c r="P7" s="1"/>
    </row>
    <row r="8" spans="1:16" ht="42" customHeight="1">
      <c r="A8" s="1" t="s">
        <v>22</v>
      </c>
      <c r="B8" s="4" t="s">
        <v>23</v>
      </c>
      <c r="C8" s="1" t="s">
        <v>17</v>
      </c>
      <c r="D8" s="5">
        <v>3</v>
      </c>
      <c r="E8" s="1">
        <f>MAX(F6)+1</f>
        <v>4</v>
      </c>
      <c r="F8" s="1">
        <f t="shared" si="0"/>
        <v>6</v>
      </c>
      <c r="G8" s="1">
        <f t="shared" si="1"/>
        <v>5</v>
      </c>
      <c r="H8" s="1">
        <f>MIN(G9)-1</f>
        <v>7</v>
      </c>
      <c r="I8" s="1">
        <f t="shared" si="2"/>
        <v>1</v>
      </c>
      <c r="J8" s="1">
        <f t="shared" si="3"/>
        <v>3</v>
      </c>
      <c r="K8" s="1">
        <f t="shared" si="4"/>
        <v>0</v>
      </c>
      <c r="L8" s="1">
        <f t="shared" si="5"/>
        <v>3</v>
      </c>
      <c r="M8" s="1"/>
      <c r="N8" s="1"/>
      <c r="O8" s="1"/>
      <c r="P8" s="1"/>
    </row>
    <row r="9" spans="1:16" ht="42" customHeight="1">
      <c r="A9" s="1" t="s">
        <v>24</v>
      </c>
      <c r="B9" s="4" t="s">
        <v>25</v>
      </c>
      <c r="C9" s="1" t="s">
        <v>26</v>
      </c>
      <c r="D9" s="5">
        <v>5</v>
      </c>
      <c r="E9" s="1">
        <f>MAX(F7,F8)+1</f>
        <v>8</v>
      </c>
      <c r="F9" s="1">
        <f t="shared" si="0"/>
        <v>12</v>
      </c>
      <c r="G9" s="1">
        <f t="shared" si="1"/>
        <v>8</v>
      </c>
      <c r="H9" s="1">
        <f>MIN(G11,G15)-1</f>
        <v>12</v>
      </c>
      <c r="I9" s="1">
        <f t="shared" si="2"/>
        <v>0</v>
      </c>
      <c r="J9" s="1">
        <f t="shared" si="3"/>
        <v>7</v>
      </c>
      <c r="K9" s="1">
        <f t="shared" si="4"/>
        <v>5</v>
      </c>
      <c r="L9" s="1">
        <f t="shared" si="5"/>
        <v>0</v>
      </c>
      <c r="M9" s="1"/>
      <c r="N9" s="1"/>
      <c r="O9" s="1"/>
      <c r="P9" s="1"/>
    </row>
    <row r="10" spans="1:16" ht="42" customHeight="1">
      <c r="A10" s="1" t="s">
        <v>27</v>
      </c>
      <c r="B10" s="4" t="s">
        <v>28</v>
      </c>
      <c r="C10" s="1" t="s">
        <v>20</v>
      </c>
      <c r="D10" s="5">
        <v>4</v>
      </c>
      <c r="E10" s="1">
        <f>MAX(F7)+1</f>
        <v>8</v>
      </c>
      <c r="F10" s="1">
        <f t="shared" si="0"/>
        <v>11</v>
      </c>
      <c r="G10" s="1">
        <f t="shared" si="1"/>
        <v>9</v>
      </c>
      <c r="H10" s="1">
        <f>MIN(G11)-1</f>
        <v>12</v>
      </c>
      <c r="I10" s="1">
        <f t="shared" si="2"/>
        <v>1</v>
      </c>
      <c r="J10" s="1">
        <f t="shared" si="3"/>
        <v>7</v>
      </c>
      <c r="K10" s="1">
        <f t="shared" si="4"/>
        <v>0</v>
      </c>
      <c r="L10" s="1">
        <f t="shared" si="5"/>
        <v>4</v>
      </c>
      <c r="M10" s="1"/>
      <c r="N10" s="1"/>
      <c r="O10" s="1"/>
      <c r="P10" s="1"/>
    </row>
    <row r="11" spans="1:16" ht="42" customHeight="1">
      <c r="A11" s="1" t="s">
        <v>29</v>
      </c>
      <c r="B11" s="4" t="s">
        <v>30</v>
      </c>
      <c r="C11" s="1" t="s">
        <v>31</v>
      </c>
      <c r="D11" s="5">
        <v>6</v>
      </c>
      <c r="E11" s="1">
        <f>MAX(F9,F10)+1</f>
        <v>13</v>
      </c>
      <c r="F11" s="1">
        <f t="shared" si="0"/>
        <v>18</v>
      </c>
      <c r="G11" s="1">
        <f t="shared" si="1"/>
        <v>13</v>
      </c>
      <c r="H11" s="1">
        <f>MIN(G12)-1</f>
        <v>18</v>
      </c>
      <c r="I11" s="1">
        <f t="shared" si="2"/>
        <v>0</v>
      </c>
      <c r="J11" s="1">
        <f t="shared" si="3"/>
        <v>12</v>
      </c>
      <c r="K11" s="1">
        <f t="shared" si="4"/>
        <v>6</v>
      </c>
      <c r="L11" s="1">
        <f t="shared" si="5"/>
        <v>0</v>
      </c>
      <c r="M11" s="1"/>
      <c r="N11" s="1"/>
      <c r="O11" s="1"/>
      <c r="P11" s="1"/>
    </row>
    <row r="12" spans="1:16" ht="42" customHeight="1">
      <c r="A12" s="1" t="s">
        <v>32</v>
      </c>
      <c r="B12" s="4" t="s">
        <v>33</v>
      </c>
      <c r="C12" s="1" t="s">
        <v>29</v>
      </c>
      <c r="D12" s="5">
        <v>2</v>
      </c>
      <c r="E12" s="1">
        <f>MAX(F11)+1</f>
        <v>19</v>
      </c>
      <c r="F12" s="1">
        <f t="shared" si="0"/>
        <v>20</v>
      </c>
      <c r="G12" s="1">
        <f t="shared" si="1"/>
        <v>19</v>
      </c>
      <c r="H12" s="1">
        <f>MIN(G13,G14)-1</f>
        <v>20</v>
      </c>
      <c r="I12" s="1">
        <f t="shared" si="2"/>
        <v>0</v>
      </c>
      <c r="J12" s="1">
        <f t="shared" si="3"/>
        <v>18</v>
      </c>
      <c r="K12" s="1">
        <f t="shared" si="4"/>
        <v>2</v>
      </c>
      <c r="L12" s="1">
        <f t="shared" si="5"/>
        <v>0</v>
      </c>
      <c r="M12" s="1"/>
      <c r="N12" s="1"/>
      <c r="O12" s="1"/>
      <c r="P12" s="1"/>
    </row>
    <row r="13" spans="1:16" ht="42" customHeight="1">
      <c r="A13" s="1" t="s">
        <v>34</v>
      </c>
      <c r="B13" s="4" t="s">
        <v>35</v>
      </c>
      <c r="C13" s="1" t="s">
        <v>32</v>
      </c>
      <c r="D13" s="5">
        <v>5</v>
      </c>
      <c r="E13" s="1">
        <f>MAX(F12)+1</f>
        <v>21</v>
      </c>
      <c r="F13" s="1">
        <f t="shared" si="0"/>
        <v>25</v>
      </c>
      <c r="G13" s="1">
        <f t="shared" si="1"/>
        <v>21</v>
      </c>
      <c r="H13" s="1">
        <f>MIN(G16)-1</f>
        <v>25</v>
      </c>
      <c r="I13" s="1">
        <f t="shared" si="2"/>
        <v>0</v>
      </c>
      <c r="J13" s="1">
        <f t="shared" si="3"/>
        <v>20</v>
      </c>
      <c r="K13" s="1">
        <f t="shared" si="4"/>
        <v>5</v>
      </c>
      <c r="L13" s="1">
        <f t="shared" si="5"/>
        <v>0</v>
      </c>
      <c r="M13" s="1"/>
      <c r="N13" s="1"/>
      <c r="O13" s="1"/>
      <c r="P13" s="1"/>
    </row>
    <row r="14" spans="1:16" ht="42" customHeight="1">
      <c r="A14" s="1" t="s">
        <v>36</v>
      </c>
      <c r="B14" s="4" t="s">
        <v>37</v>
      </c>
      <c r="C14" s="1" t="s">
        <v>32</v>
      </c>
      <c r="D14" s="5">
        <v>5</v>
      </c>
      <c r="E14" s="1">
        <f>MAX(F12)+1</f>
        <v>21</v>
      </c>
      <c r="F14" s="1">
        <f t="shared" si="0"/>
        <v>25</v>
      </c>
      <c r="G14" s="1">
        <f t="shared" si="1"/>
        <v>21</v>
      </c>
      <c r="H14" s="1">
        <f>MIN(G16)-1</f>
        <v>25</v>
      </c>
      <c r="I14" s="1">
        <f t="shared" si="2"/>
        <v>0</v>
      </c>
      <c r="J14" s="1">
        <f t="shared" si="3"/>
        <v>20</v>
      </c>
      <c r="K14" s="1">
        <f t="shared" si="4"/>
        <v>5</v>
      </c>
      <c r="L14" s="1">
        <f t="shared" si="5"/>
        <v>0</v>
      </c>
      <c r="M14" s="1"/>
      <c r="N14" s="1"/>
      <c r="O14" s="1"/>
      <c r="P14" s="1"/>
    </row>
    <row r="15" spans="1:16" ht="42" customHeight="1">
      <c r="A15" s="1" t="s">
        <v>38</v>
      </c>
      <c r="B15" s="4" t="s">
        <v>39</v>
      </c>
      <c r="C15" s="1" t="s">
        <v>24</v>
      </c>
      <c r="D15" s="5">
        <v>4</v>
      </c>
      <c r="E15" s="1">
        <f>MAX(F9)+1</f>
        <v>13</v>
      </c>
      <c r="F15" s="1">
        <f t="shared" si="0"/>
        <v>16</v>
      </c>
      <c r="G15" s="1">
        <f t="shared" si="1"/>
        <v>22</v>
      </c>
      <c r="H15" s="1">
        <f>MIN(G16)-1</f>
        <v>25</v>
      </c>
      <c r="I15" s="1">
        <f t="shared" si="2"/>
        <v>9</v>
      </c>
      <c r="J15" s="1">
        <f t="shared" si="3"/>
        <v>12</v>
      </c>
      <c r="K15" s="1">
        <f t="shared" si="4"/>
        <v>0</v>
      </c>
      <c r="L15" s="1">
        <f t="shared" si="5"/>
        <v>4</v>
      </c>
      <c r="M15" s="1"/>
      <c r="N15" s="1"/>
      <c r="O15" s="1"/>
      <c r="P15" s="1"/>
    </row>
    <row r="16" spans="1:16" ht="42" customHeight="1">
      <c r="A16" s="1" t="s">
        <v>40</v>
      </c>
      <c r="B16" s="4" t="s">
        <v>41</v>
      </c>
      <c r="C16" s="1" t="s">
        <v>42</v>
      </c>
      <c r="D16" s="5">
        <v>4</v>
      </c>
      <c r="E16" s="1">
        <f>MAX(F13,F14,F15)+1</f>
        <v>26</v>
      </c>
      <c r="F16" s="1">
        <f t="shared" si="0"/>
        <v>29</v>
      </c>
      <c r="G16" s="1">
        <f t="shared" si="1"/>
        <v>26</v>
      </c>
      <c r="H16" s="1">
        <f>MIN(G17)-1</f>
        <v>29</v>
      </c>
      <c r="I16" s="1">
        <f t="shared" si="2"/>
        <v>0</v>
      </c>
      <c r="J16" s="1">
        <f t="shared" si="3"/>
        <v>25</v>
      </c>
      <c r="K16" s="1">
        <f t="shared" si="4"/>
        <v>4</v>
      </c>
      <c r="L16" s="1">
        <f t="shared" si="5"/>
        <v>0</v>
      </c>
      <c r="M16" s="1"/>
      <c r="N16" s="1"/>
      <c r="O16" s="1"/>
      <c r="P16" s="1"/>
    </row>
    <row r="17" spans="1:16" ht="42" customHeight="1">
      <c r="A17" s="1" t="s">
        <v>43</v>
      </c>
      <c r="B17" s="4" t="s">
        <v>44</v>
      </c>
      <c r="C17" s="1" t="s">
        <v>40</v>
      </c>
      <c r="D17" s="5">
        <v>4</v>
      </c>
      <c r="E17" s="1">
        <f>MAX(F16)+1</f>
        <v>30</v>
      </c>
      <c r="F17" s="1">
        <f t="shared" si="0"/>
        <v>33</v>
      </c>
      <c r="G17" s="1">
        <f t="shared" si="1"/>
        <v>30</v>
      </c>
      <c r="H17" s="1">
        <f>MIN(G18)-1</f>
        <v>33</v>
      </c>
      <c r="I17" s="1">
        <f t="shared" si="2"/>
        <v>0</v>
      </c>
      <c r="J17" s="1">
        <f t="shared" si="3"/>
        <v>29</v>
      </c>
      <c r="K17" s="1">
        <f t="shared" si="4"/>
        <v>4</v>
      </c>
      <c r="L17" s="1">
        <f t="shared" si="5"/>
        <v>0</v>
      </c>
      <c r="M17" s="1"/>
      <c r="N17" s="1"/>
      <c r="O17" s="1"/>
      <c r="P17" s="1"/>
    </row>
    <row r="18" spans="1:16" ht="42" customHeight="1">
      <c r="A18" s="1" t="s">
        <v>45</v>
      </c>
      <c r="B18" s="4" t="s">
        <v>46</v>
      </c>
      <c r="C18" s="1" t="s">
        <v>43</v>
      </c>
      <c r="D18" s="5">
        <v>2</v>
      </c>
      <c r="E18" s="1">
        <f>MAX(F17)+1</f>
        <v>34</v>
      </c>
      <c r="F18" s="1">
        <f t="shared" si="0"/>
        <v>35</v>
      </c>
      <c r="G18" s="1">
        <f t="shared" si="1"/>
        <v>34</v>
      </c>
      <c r="H18" s="1">
        <f>$F$3</f>
        <v>35</v>
      </c>
      <c r="I18" s="1">
        <f t="shared" si="2"/>
        <v>0</v>
      </c>
      <c r="J18" s="1">
        <f t="shared" si="3"/>
        <v>33</v>
      </c>
      <c r="K18" s="1">
        <f t="shared" si="4"/>
        <v>2</v>
      </c>
      <c r="L18" s="1">
        <f t="shared" si="5"/>
        <v>0</v>
      </c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Nadine Alameldin</cp:lastModifiedBy>
  <dcterms:modified xsi:type="dcterms:W3CDTF">2026-10-17T17:33:48Z</dcterms:modified>
</cp:coreProperties>
</file>